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xsxll\Documents\"/>
    </mc:Choice>
  </mc:AlternateContent>
  <xr:revisionPtr revIDLastSave="0" documentId="13_ncr:1_{4FA6385E-F3E3-4FEB-AFED-F1DB6B22C5F0}" xr6:coauthVersionLast="47" xr6:coauthVersionMax="47" xr10:uidLastSave="{00000000-0000-0000-0000-000000000000}"/>
  <bookViews>
    <workbookView xWindow="-108" yWindow="-108" windowWidth="23256" windowHeight="12456" xr2:uid="{9F5BCDA9-DA0B-4627-8005-8C9C577313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E12" i="1"/>
  <c r="H12" i="1"/>
  <c r="I12" i="1"/>
  <c r="G12" i="1"/>
  <c r="I8" i="1"/>
  <c r="I7" i="1"/>
  <c r="I6" i="1"/>
  <c r="I5" i="1"/>
  <c r="I9" i="1"/>
  <c r="I10" i="1"/>
  <c r="I11" i="1"/>
</calcChain>
</file>

<file path=xl/sharedStrings.xml><?xml version="1.0" encoding="utf-8"?>
<sst xmlns="http://schemas.openxmlformats.org/spreadsheetml/2006/main" count="46" uniqueCount="30">
  <si>
    <t>Product</t>
  </si>
  <si>
    <t>Specs</t>
  </si>
  <si>
    <t>25GA370</t>
  </si>
  <si>
    <t>12V, 300RPM</t>
  </si>
  <si>
    <t>Cost per piece</t>
  </si>
  <si>
    <t>total - product</t>
  </si>
  <si>
    <t>count</t>
  </si>
  <si>
    <t>€</t>
  </si>
  <si>
    <t>Comment</t>
  </si>
  <si>
    <t>Motor</t>
  </si>
  <si>
    <t>absorber</t>
  </si>
  <si>
    <t>METALL</t>
  </si>
  <si>
    <t>actual count</t>
  </si>
  <si>
    <t>85mm, 4pcs</t>
  </si>
  <si>
    <t xml:space="preserve"> BTS7960</t>
  </si>
  <si>
    <t>H-bridge</t>
  </si>
  <si>
    <t>43A</t>
  </si>
  <si>
    <t>Regulator</t>
  </si>
  <si>
    <t>…</t>
  </si>
  <si>
    <t>PRO</t>
  </si>
  <si>
    <t>PSU</t>
  </si>
  <si>
    <t>12V, 13800Ah</t>
  </si>
  <si>
    <t>Wheels</t>
  </si>
  <si>
    <t xml:space="preserve">
INJORA 1.0</t>
  </si>
  <si>
    <t>Filament</t>
  </si>
  <si>
    <t>Elegoo</t>
  </si>
  <si>
    <t>PETG</t>
  </si>
  <si>
    <t>TOTAL</t>
  </si>
  <si>
    <t>-</t>
  </si>
  <si>
    <t>7ß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</si>
</sst>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Font="1" applyAlignment="1">
      <alignment vertical="center"/>
    </xf>
    <xf numFmtId="43" fontId="0" fillId="0" borderId="0" xfId="1" applyFont="1"/>
    <xf numFmtId="0" fontId="0" fillId="0" borderId="0" xfId="0" applyFont="1" applyAlignment="1">
      <alignment wrapText="1"/>
    </xf>
    <xf numFmtId="0" fontId="2" fillId="2" borderId="0" xfId="0" applyFont="1" applyFill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29EE-25CB-45E4-BD85-0B4DBF0A5B9A}">
  <dimension ref="B4:J17"/>
  <sheetViews>
    <sheetView tabSelected="1" workbookViewId="0">
      <selection activeCell="B15" sqref="B15"/>
    </sheetView>
  </sheetViews>
  <sheetFormatPr baseColWidth="10" defaultRowHeight="14.4" x14ac:dyDescent="0.3"/>
  <cols>
    <col min="4" max="4" width="13.77734375" customWidth="1"/>
    <col min="5" max="5" width="14.77734375" customWidth="1"/>
    <col min="6" max="6" width="1.88671875" customWidth="1"/>
    <col min="9" max="9" width="12.109375" bestFit="1" customWidth="1"/>
  </cols>
  <sheetData>
    <row r="4" spans="2:10" x14ac:dyDescent="0.3">
      <c r="B4" s="5" t="s">
        <v>8</v>
      </c>
      <c r="C4" s="5" t="s">
        <v>0</v>
      </c>
      <c r="D4" s="5" t="s">
        <v>1</v>
      </c>
      <c r="E4" s="5" t="s">
        <v>4</v>
      </c>
      <c r="F4" s="5"/>
      <c r="G4" s="5" t="s">
        <v>6</v>
      </c>
      <c r="H4" s="5" t="s">
        <v>12</v>
      </c>
      <c r="I4" s="5" t="s">
        <v>5</v>
      </c>
    </row>
    <row r="5" spans="2:10" x14ac:dyDescent="0.3">
      <c r="B5" t="s">
        <v>9</v>
      </c>
      <c r="C5" t="s">
        <v>2</v>
      </c>
      <c r="D5" t="s">
        <v>3</v>
      </c>
      <c r="E5" s="1">
        <v>4.82</v>
      </c>
      <c r="F5" t="s">
        <v>7</v>
      </c>
      <c r="G5">
        <v>6</v>
      </c>
      <c r="H5">
        <v>6</v>
      </c>
      <c r="I5" s="1">
        <f>E5*G5</f>
        <v>28.92</v>
      </c>
      <c r="J5" t="s">
        <v>7</v>
      </c>
    </row>
    <row r="6" spans="2:10" x14ac:dyDescent="0.3">
      <c r="B6" t="s">
        <v>10</v>
      </c>
      <c r="C6" s="2" t="s">
        <v>11</v>
      </c>
      <c r="D6" t="s">
        <v>13</v>
      </c>
      <c r="E6" s="1">
        <v>9.1199999999999992</v>
      </c>
      <c r="F6" t="s">
        <v>7</v>
      </c>
      <c r="G6">
        <v>2</v>
      </c>
      <c r="H6">
        <v>8</v>
      </c>
      <c r="I6" s="3">
        <f>E6+G6</f>
        <v>11.12</v>
      </c>
      <c r="J6" t="s">
        <v>7</v>
      </c>
    </row>
    <row r="7" spans="2:10" x14ac:dyDescent="0.3">
      <c r="B7" t="s">
        <v>15</v>
      </c>
      <c r="C7" t="s">
        <v>14</v>
      </c>
      <c r="D7" t="s">
        <v>16</v>
      </c>
      <c r="E7" s="1">
        <v>2.93</v>
      </c>
      <c r="F7" t="s">
        <v>7</v>
      </c>
      <c r="G7">
        <v>2</v>
      </c>
      <c r="H7">
        <v>2</v>
      </c>
      <c r="I7" s="1">
        <f>E7*G7</f>
        <v>5.86</v>
      </c>
      <c r="J7" t="s">
        <v>7</v>
      </c>
    </row>
    <row r="8" spans="2:10" x14ac:dyDescent="0.3">
      <c r="B8" t="s">
        <v>17</v>
      </c>
      <c r="C8" t="s">
        <v>18</v>
      </c>
      <c r="D8" t="s">
        <v>19</v>
      </c>
      <c r="E8" s="1">
        <v>2.58</v>
      </c>
      <c r="F8" t="s">
        <v>7</v>
      </c>
      <c r="G8">
        <v>1</v>
      </c>
      <c r="H8">
        <v>2</v>
      </c>
      <c r="I8" s="1">
        <f>E8*G8</f>
        <v>2.58</v>
      </c>
      <c r="J8" t="s">
        <v>7</v>
      </c>
    </row>
    <row r="9" spans="2:10" x14ac:dyDescent="0.3">
      <c r="B9" t="s">
        <v>20</v>
      </c>
      <c r="C9">
        <v>18650</v>
      </c>
      <c r="D9" t="s">
        <v>21</v>
      </c>
      <c r="E9" s="1">
        <v>8.0500000000000007</v>
      </c>
      <c r="F9" t="s">
        <v>7</v>
      </c>
      <c r="G9">
        <v>1</v>
      </c>
      <c r="H9">
        <v>1</v>
      </c>
      <c r="I9" s="1">
        <f t="shared" ref="I6:I17" si="0">E9*G9</f>
        <v>8.0500000000000007</v>
      </c>
      <c r="J9" t="s">
        <v>7</v>
      </c>
    </row>
    <row r="10" spans="2:10" ht="16.8" customHeight="1" x14ac:dyDescent="0.3">
      <c r="B10" t="s">
        <v>22</v>
      </c>
      <c r="C10" s="4" t="s">
        <v>23</v>
      </c>
      <c r="E10" s="1">
        <v>17.5</v>
      </c>
      <c r="F10" t="s">
        <v>7</v>
      </c>
      <c r="G10">
        <v>2</v>
      </c>
      <c r="H10">
        <v>8</v>
      </c>
      <c r="I10" s="1">
        <f t="shared" si="0"/>
        <v>35</v>
      </c>
      <c r="J10" t="s">
        <v>7</v>
      </c>
    </row>
    <row r="11" spans="2:10" x14ac:dyDescent="0.3">
      <c r="B11" t="s">
        <v>24</v>
      </c>
      <c r="C11" t="s">
        <v>25</v>
      </c>
      <c r="D11" t="s">
        <v>26</v>
      </c>
      <c r="E11" s="1">
        <v>22.26</v>
      </c>
      <c r="F11" t="s">
        <v>7</v>
      </c>
      <c r="G11">
        <v>1</v>
      </c>
      <c r="H11">
        <v>1</v>
      </c>
      <c r="I11" s="1">
        <f t="shared" si="0"/>
        <v>22.26</v>
      </c>
      <c r="J11" t="s">
        <v>7</v>
      </c>
    </row>
    <row r="12" spans="2:10" x14ac:dyDescent="0.3">
      <c r="B12" s="5" t="s">
        <v>27</v>
      </c>
      <c r="C12" t="s">
        <v>28</v>
      </c>
      <c r="D12" t="s">
        <v>28</v>
      </c>
      <c r="E12" s="1">
        <f>SUM(E5:E11)/7</f>
        <v>9.6085714285714285</v>
      </c>
      <c r="F12" t="s">
        <v>7</v>
      </c>
      <c r="G12">
        <f>SUM(G5:G11)</f>
        <v>15</v>
      </c>
      <c r="H12">
        <f t="shared" ref="H12:I12" si="1">SUM(H5:H11)</f>
        <v>28</v>
      </c>
      <c r="I12">
        <f t="shared" si="1"/>
        <v>113.79</v>
      </c>
      <c r="J12" t="s">
        <v>7</v>
      </c>
    </row>
    <row r="13" spans="2:10" x14ac:dyDescent="0.3">
      <c r="B13" s="1">
        <f>I12/2</f>
        <v>56.895000000000003</v>
      </c>
      <c r="E13" s="1"/>
      <c r="I13" s="1"/>
    </row>
    <row r="14" spans="2:10" x14ac:dyDescent="0.3">
      <c r="B14" t="s">
        <v>29</v>
      </c>
      <c r="E14" s="1"/>
      <c r="I14" s="1"/>
    </row>
    <row r="15" spans="2:10" x14ac:dyDescent="0.3">
      <c r="E15" s="1"/>
      <c r="I15" s="1"/>
    </row>
    <row r="16" spans="2:10" x14ac:dyDescent="0.3">
      <c r="E16" s="1"/>
      <c r="I16" s="1"/>
    </row>
    <row r="17" spans="5:9" x14ac:dyDescent="0.3">
      <c r="E17" s="1"/>
      <c r="I1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Allmer Musa</dc:creator>
  <cp:lastModifiedBy>Allmer Musa</cp:lastModifiedBy>
  <dcterms:created xsi:type="dcterms:W3CDTF">2026-07-20T21:43:51Z</dcterms:created>
  <dcterms:modified xsi:type="dcterms:W3CDTF">2026-07-20T22:03:12Z</dcterms:modified>
</cp:coreProperties>
</file>